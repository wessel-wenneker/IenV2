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bgoris_tudelft_nl/Documents/MT1463enMT1466_Nakijkmodel/Voorbeeldschepen D8/Vb - Transportschip - Basisafmetingen/Output/"/>
    </mc:Choice>
  </mc:AlternateContent>
  <xr:revisionPtr revIDLastSave="6" documentId="11_F25DC773A252ABDACC10480B89DD46025ADE58EA" xr6:coauthVersionLast="47" xr6:coauthVersionMax="47" xr10:uidLastSave="{ED85A83D-F51F-499B-A780-97EE699B1DFF}"/>
  <bookViews>
    <workbookView xWindow="-108" yWindow="-108" windowWidth="23256" windowHeight="13896" xr2:uid="{00000000-000D-0000-FFFF-FFFF00000000}"/>
  </bookViews>
  <sheets>
    <sheet name="NakijkModel" sheetId="2" r:id="rId1"/>
    <sheet name="Sheet1" sheetId="1" r:id="rId2"/>
  </sheets>
  <externalReferences>
    <externalReference r:id="rId3"/>
  </externalReferences>
  <definedNames>
    <definedName name="Buoyancy">[1]AntwoordenbladV1!$D$39</definedName>
    <definedName name="Deplacement">[1]AntwoordenbladV1!$D$32</definedName>
    <definedName name="hoogte_transition_piece">[1]Data!$B$6</definedName>
    <definedName name="lcg_tp">#REF!</definedName>
    <definedName name="solver_adj" localSheetId="0" hidden="1">NakijkModel!#REF!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NakijkModel!$L$53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0</definedName>
    <definedName name="solver_ver" localSheetId="0" hidden="1">3</definedName>
    <definedName name="soortelijk_gewicht_water">[1]Data!$B$4</definedName>
    <definedName name="tcg_tp">#REF!</definedName>
    <definedName name="vcg_t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<sst xmlns="http://schemas.openxmlformats.org/spreadsheetml/2006/main" count="84" uniqueCount="81">
  <si>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Nakijkmodel op basis van tekstbestanden uit de rompgenerator &amp; antwoordenblad</t>
  </si>
  <si>
    <r>
      <t xml:space="preserve">Het nakijkmodel neemt voor de deklading het aantal en het gewicht over van het </t>
    </r>
    <r>
      <rPr>
        <b/>
        <i/>
        <sz val="11"/>
        <color rgb="FF7F7F7F"/>
        <rFont val="Calibri"/>
        <family val="2"/>
        <scheme val="minor"/>
      </rPr>
      <t>antwoordenblad</t>
    </r>
    <r>
      <rPr>
        <i/>
        <sz val="11"/>
        <color rgb="FF7F7F7F"/>
        <rFont val="Calibri"/>
        <family val="2"/>
        <scheme val="minor"/>
      </rPr>
      <t>.</t>
    </r>
  </si>
  <si>
    <r>
      <t xml:space="preserve">Het nakijkmodel neemt de lcg en tcg over van het kraanhuis van het </t>
    </r>
    <r>
      <rPr>
        <b/>
        <i/>
        <sz val="11"/>
        <color rgb="FF7F7F7F"/>
        <rFont val="Calibri"/>
        <family val="2"/>
        <scheme val="minor"/>
      </rPr>
      <t>antwoordenblad</t>
    </r>
    <r>
      <rPr>
        <i/>
        <sz val="11"/>
        <color rgb="FF7F7F7F"/>
        <rFont val="Calibri"/>
        <family val="2"/>
        <scheme val="minor"/>
      </rPr>
      <t xml:space="preserve"> en berekend vandaar uit de kraan</t>
    </r>
  </si>
  <si>
    <t>Het nakijkmodel gebruikt MainShipParticulars.json en HullAreaData.csv</t>
  </si>
  <si>
    <t>Het nakijkmodel haalt de tank gegevens uit TankData.json en TankBHD_Data.csv</t>
  </si>
  <si>
    <t>momenten stelling</t>
  </si>
  <si>
    <t>hulp velden</t>
  </si>
  <si>
    <t>Momentenstelling</t>
  </si>
  <si>
    <t>beschrijving</t>
  </si>
  <si>
    <t>factor of aantal</t>
  </si>
  <si>
    <t>Column1</t>
  </si>
  <si>
    <t>Column2</t>
  </si>
  <si>
    <t>Tnk2  gewicht [kg]</t>
  </si>
  <si>
    <t>oppervlak</t>
  </si>
  <si>
    <t>dikte</t>
  </si>
  <si>
    <t>gewicht [kg]</t>
  </si>
  <si>
    <t>lcg [m]</t>
  </si>
  <si>
    <t>tcg</t>
  </si>
  <si>
    <t>vcg</t>
  </si>
  <si>
    <t>Mx [kgm]</t>
  </si>
  <si>
    <t>My</t>
  </si>
  <si>
    <t>Mz</t>
  </si>
  <si>
    <t>Gewicht [N]</t>
  </si>
  <si>
    <t>LADING &amp; KRAAN</t>
  </si>
  <si>
    <t>kraanhuis (lcg en tcg van antwoordenblad)</t>
  </si>
  <si>
    <t>=toggle</t>
  </si>
  <si>
    <t>transition piece in de kraan</t>
  </si>
  <si>
    <t>GEWICHT ROMP via BHD data</t>
  </si>
  <si>
    <t>GEWICHT ROMP via berekening</t>
  </si>
  <si>
    <t>TANKVULLINGEN</t>
  </si>
  <si>
    <t>SUBTOTAL() Neerwaardse krachten</t>
  </si>
  <si>
    <t>BUOYANCY    Opwaardse kracht</t>
  </si>
  <si>
    <r>
      <t xml:space="preserve">TOTALEN </t>
    </r>
    <r>
      <rPr>
        <sz val="14"/>
        <color theme="1"/>
        <rFont val="Calibri"/>
        <family val="2"/>
        <scheme val="minor"/>
      </rPr>
      <t>SUM()</t>
    </r>
    <r>
      <rPr>
        <b/>
        <sz val="14"/>
        <color theme="1"/>
        <rFont val="Calibri"/>
        <family val="2"/>
        <scheme val="minor"/>
      </rPr>
      <t xml:space="preserve"> </t>
    </r>
  </si>
  <si>
    <t>&lt;&lt; moeten bijna nul zijn! &gt;&gt;</t>
  </si>
  <si>
    <t>afwijking tov buoyancy</t>
  </si>
  <si>
    <t>Stabiliteits berekening schip</t>
  </si>
  <si>
    <t>BM [m]</t>
  </si>
  <si>
    <t>KB [m]</t>
  </si>
  <si>
    <t>KM [m]</t>
  </si>
  <si>
    <t>KG [m]</t>
  </si>
  <si>
    <t>GM [m]</t>
  </si>
  <si>
    <t>GG' [m] tank1 uit tankdata</t>
  </si>
  <si>
    <t>GG' [m] tank2 uit tankdata</t>
  </si>
  <si>
    <t>GG' [m] tank3 uit tankdata</t>
  </si>
  <si>
    <t>G'M [m]</t>
  </si>
  <si>
    <t>MT Deelopdracht 2 &amp; 4 van 2025-26</t>
  </si>
  <si>
    <t>4 transition pieces aan dek van 230000kg</t>
  </si>
  <si>
    <t>kraanboom (JibAngle 45, SlewingAngle 180, Ljib 40m)</t>
  </si>
  <si>
    <t>hijsgerei (SWLmax 244681kg)</t>
  </si>
  <si>
    <t>Transom Area, t=10mm</t>
  </si>
  <si>
    <t>Shell Area (bij bak: zijdes, bodem &amp; voorkant) t=12mm</t>
  </si>
  <si>
    <t>Deck Area,  t=12mm</t>
  </si>
  <si>
    <t>Side Areas, t=20mm</t>
  </si>
  <si>
    <t>bottom &amp; deck area,  t=20mm</t>
  </si>
  <si>
    <t>Front Area, t=10mm</t>
  </si>
  <si>
    <t>TANKENSCHOTTEN (BULKHEADS ), t=10mm</t>
  </si>
  <si>
    <t xml:space="preserve">BHD Area 1 </t>
  </si>
  <si>
    <t xml:space="preserve">BHD Area 2 </t>
  </si>
  <si>
    <t xml:space="preserve">BHD Area 3 </t>
  </si>
  <si>
    <t xml:space="preserve">BHD Area 4 </t>
  </si>
  <si>
    <t xml:space="preserve">BHD Area 5 </t>
  </si>
  <si>
    <t xml:space="preserve">BHD Area 6 </t>
  </si>
  <si>
    <t xml:space="preserve">BHD Area 7 </t>
  </si>
  <si>
    <t xml:space="preserve">BHD Area 8 </t>
  </si>
  <si>
    <t xml:space="preserve">BHD Area 9 </t>
  </si>
  <si>
    <t>BHD Area 10 mid-dwarsschot</t>
  </si>
  <si>
    <t>BHD Area 11 mid-dwarsschot</t>
  </si>
  <si>
    <t xml:space="preserve">BHD Area 12 </t>
  </si>
  <si>
    <t xml:space="preserve">BHD Area 13 </t>
  </si>
  <si>
    <t xml:space="preserve">BHD Area 14 </t>
  </si>
  <si>
    <t xml:space="preserve">BHD Area 15 </t>
  </si>
  <si>
    <t xml:space="preserve">BHD Area 16 </t>
  </si>
  <si>
    <t xml:space="preserve">BHD Area 17 </t>
  </si>
  <si>
    <t xml:space="preserve">BHD Area 18 </t>
  </si>
  <si>
    <t xml:space="preserve">BHD Area 19 </t>
  </si>
  <si>
    <t xml:space="preserve">BHD Area 20 </t>
  </si>
  <si>
    <t xml:space="preserve">BHD Area 21 </t>
  </si>
  <si>
    <t xml:space="preserve">BHD Area 22 </t>
  </si>
  <si>
    <t>WB TANK 1 uit tankdata 50%</t>
  </si>
  <si>
    <t>WB TANK 2 uit tankdata 88.5744%</t>
  </si>
  <si>
    <t>WB TANK 3 uit tankdata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</si>
</sst>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%"/>
    <numFmt numFmtId="167" formatCode="0.0000"/>
    <numFmt numFmtId="168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5" tint="-0.499984740745262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7" fillId="0" borderId="0" xfId="0" applyFont="1"/>
    <xf numFmtId="0" fontId="5" fillId="0" borderId="0" xfId="4"/>
    <xf numFmtId="0" fontId="9" fillId="0" borderId="0" xfId="0" applyFont="1"/>
    <xf numFmtId="0" fontId="10" fillId="3" borderId="3" xfId="0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/>
    <xf numFmtId="164" fontId="14" fillId="0" borderId="0" xfId="0" applyNumberFormat="1" applyFont="1"/>
    <xf numFmtId="165" fontId="14" fillId="0" borderId="0" xfId="0" applyNumberFormat="1" applyFont="1"/>
    <xf numFmtId="1" fontId="14" fillId="0" borderId="0" xfId="0" applyNumberFormat="1" applyFont="1"/>
    <xf numFmtId="0" fontId="6" fillId="0" borderId="0" xfId="0" applyFont="1"/>
    <xf numFmtId="1" fontId="0" fillId="0" borderId="0" xfId="0" applyNumberFormat="1"/>
    <xf numFmtId="0" fontId="3" fillId="0" borderId="2" xfId="3"/>
    <xf numFmtId="165" fontId="0" fillId="0" borderId="0" xfId="0" applyNumberFormat="1"/>
    <xf numFmtId="0" fontId="15" fillId="2" borderId="1" xfId="2" applyFont="1"/>
    <xf numFmtId="0" fontId="0" fillId="0" borderId="0" xfId="0" quotePrefix="1"/>
    <xf numFmtId="0" fontId="0" fillId="0" borderId="0" xfId="0" applyAlignment="1">
      <alignment horizontal="left"/>
    </xf>
    <xf numFmtId="2" fontId="0" fillId="0" borderId="0" xfId="0" applyNumberFormat="1"/>
    <xf numFmtId="0" fontId="0" fillId="4" borderId="0" xfId="0" applyFill="1"/>
    <xf numFmtId="1" fontId="6" fillId="0" borderId="0" xfId="0" applyNumberFormat="1" applyFont="1"/>
    <xf numFmtId="0" fontId="2" fillId="2" borderId="1" xfId="2"/>
    <xf numFmtId="166" fontId="0" fillId="0" borderId="0" xfId="1" applyNumberFormat="1" applyFont="1"/>
    <xf numFmtId="0" fontId="16" fillId="0" borderId="0" xfId="0" applyFont="1"/>
    <xf numFmtId="1" fontId="16" fillId="0" borderId="0" xfId="0" applyNumberFormat="1" applyFont="1"/>
    <xf numFmtId="165" fontId="16" fillId="0" borderId="0" xfId="0" applyNumberFormat="1" applyFont="1"/>
    <xf numFmtId="1" fontId="11" fillId="0" borderId="0" xfId="0" applyNumberFormat="1" applyFont="1"/>
    <xf numFmtId="165" fontId="11" fillId="0" borderId="0" xfId="0" applyNumberFormat="1" applyFont="1"/>
    <xf numFmtId="0" fontId="16" fillId="4" borderId="0" xfId="0" applyFont="1" applyFill="1"/>
    <xf numFmtId="1" fontId="17" fillId="0" borderId="6" xfId="0" applyNumberFormat="1" applyFont="1" applyBorder="1"/>
    <xf numFmtId="2" fontId="18" fillId="0" borderId="0" xfId="0" applyNumberFormat="1" applyFont="1" applyAlignment="1">
      <alignment horizontal="center"/>
    </xf>
    <xf numFmtId="2" fontId="18" fillId="0" borderId="0" xfId="0" applyNumberFormat="1" applyFont="1"/>
    <xf numFmtId="1" fontId="16" fillId="0" borderId="7" xfId="0" applyNumberFormat="1" applyFont="1" applyBorder="1"/>
    <xf numFmtId="1" fontId="16" fillId="0" borderId="8" xfId="0" applyNumberFormat="1" applyFont="1" applyBorder="1"/>
    <xf numFmtId="0" fontId="4" fillId="0" borderId="0" xfId="0" applyFont="1"/>
    <xf numFmtId="0" fontId="0" fillId="0" borderId="0" xfId="0" applyAlignment="1">
      <alignment horizontal="right"/>
    </xf>
    <xf numFmtId="10" fontId="0" fillId="0" borderId="0" xfId="1" applyNumberFormat="1" applyFont="1"/>
    <xf numFmtId="2" fontId="16" fillId="0" borderId="0" xfId="0" applyNumberFormat="1" applyFont="1" applyAlignment="1">
      <alignment horizontal="center"/>
    </xf>
    <xf numFmtId="2" fontId="16" fillId="0" borderId="0" xfId="0" applyNumberFormat="1" applyFont="1"/>
    <xf numFmtId="167" fontId="16" fillId="0" borderId="0" xfId="0" applyNumberFormat="1" applyFont="1"/>
    <xf numFmtId="0" fontId="19" fillId="0" borderId="0" xfId="0" applyFont="1"/>
    <xf numFmtId="0" fontId="0" fillId="0" borderId="9" xfId="0" applyBorder="1"/>
    <xf numFmtId="167" fontId="0" fillId="0" borderId="10" xfId="0" applyNumberFormat="1" applyBorder="1"/>
    <xf numFmtId="0" fontId="0" fillId="0" borderId="11" xfId="0" applyBorder="1"/>
    <xf numFmtId="167" fontId="0" fillId="0" borderId="12" xfId="0" applyNumberFormat="1" applyBorder="1"/>
    <xf numFmtId="167" fontId="0" fillId="0" borderId="13" xfId="0" applyNumberFormat="1" applyBorder="1"/>
    <xf numFmtId="0" fontId="9" fillId="0" borderId="14" xfId="0" applyFont="1" applyBorder="1"/>
    <xf numFmtId="167" fontId="9" fillId="0" borderId="15" xfId="0" applyNumberFormat="1" applyFont="1" applyBorder="1"/>
    <xf numFmtId="168" fontId="0" fillId="0" borderId="0" xfId="1" applyNumberFormat="1" applyFont="1"/>
  </cellXfs>
  <cellStyles count="5">
    <cellStyle name="Explanatory Text" xfId="4" builtinId="53"/>
    <cellStyle name="Input" xfId="2" builtinId="20"/>
    <cellStyle name="Linked Cell" xfId="3" builtinId="24"/>
    <cellStyle name="Normal" xfId="0" builtinId="0"/>
    <cellStyle name="Percent" xfId="1" builtinId="5"/>
  </cellStyles>
  <dxfs count="44">
    <dxf>
      <font>
        <b/>
        <i val="0"/>
        <color auto="1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1" formatCode="0"/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1" formatCode="0"/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1" formatCode="0"/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2" formatCode="0.00"/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2" formatCode="0.00"/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numFmt numFmtId="2" formatCode="0.00"/>
    </dxf>
    <dxf>
      <font>
        <b/>
      </font>
    </dxf>
    <dxf>
      <numFmt numFmtId="1" formatCode="0"/>
    </dxf>
    <dxf>
      <font>
        <b/>
      </font>
    </dxf>
    <dxf>
      <font>
        <b/>
      </font>
    </dxf>
    <dxf>
      <numFmt numFmtId="1" formatCode="0"/>
    </dxf>
    <dxf>
      <font>
        <b/>
      </font>
    </dxf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numFmt numFmtId="1" formatCode="0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goris\OneDrive%20-%20Delft%20University%20of%20Technology\MT1463enMT1466_Nakijkmodel\Voorbeeldschepen%20D8\Vb%20-%20Transportschip%20-%20Basisafmetingen\NakijkExcelV08.xlsx" TargetMode="External"/><Relationship Id="rId1" Type="http://schemas.openxmlformats.org/officeDocument/2006/relationships/externalLinkPath" Target="file:///C:\Users\bgoris\OneDrive%20-%20Delft%20University%20of%20Technology\MT1463enMT1466_Nakijkmodel\Voorbeeldschepen%20D8\Vb%20-%20Transportschip%20-%20Basisafmetingen\NakijkExcelV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ntwoordenblad MT98"/>
      <sheetName val="NakijkModel"/>
      <sheetName val="kraan"/>
      <sheetName val="Vergelijk"/>
      <sheetName val="AntwoordenbladV1"/>
      <sheetName val="Antwoordenblad Uitvoer"/>
    </sheetNames>
    <sheetDataSet>
      <sheetData sheetId="0">
        <row r="4">
          <cell r="B4">
            <v>1025</v>
          </cell>
        </row>
        <row r="6">
          <cell r="B6">
            <v>20</v>
          </cell>
        </row>
      </sheetData>
      <sheetData sheetId="1"/>
      <sheetData sheetId="2"/>
      <sheetData sheetId="3"/>
      <sheetData sheetId="4"/>
      <sheetData sheetId="5">
        <row r="32">
          <cell r="D32">
            <v>68333437.837460756</v>
          </cell>
        </row>
        <row r="39">
          <cell r="D39">
            <v>-68333440.259625003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5BEFC-2FAC-434E-85E7-6AD7587D3F72}" name="Table104" displayName="Table104" ref="A8:N50" totalsRowShown="0" headerRowDxfId="43">
  <autoFilter ref="A8:N50" xr:uid="{679C1542-23AC-4029-9BF5-2F8CD45056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0C0FBAB-167F-47FF-8B3A-FA1001DB85A0}" name="beschrijving"/>
    <tableColumn id="2" xr3:uid="{73FDB365-AE21-435F-A72C-FA15BF0C47CA}" name="factor of aantal"/>
    <tableColumn id="3" xr3:uid="{1F9B690F-5B8A-4678-9A3D-2EA6D673EEA2}" name="Column1"/>
    <tableColumn id="4" xr3:uid="{618EA245-649D-4F95-B8B0-7B93BAAC1338}" name="Column2"/>
    <tableColumn id="5" xr3:uid="{871524DD-4460-488A-B65B-EED99BC5DF6A}" name="Tnk2  gewicht [kg]" dataDxfId="42"/>
    <tableColumn id="6" xr3:uid="{0BEE0B7E-5D13-432F-A879-57AEC02C95D5}" name="oppervlak"/>
    <tableColumn id="7" xr3:uid="{51EB8E1F-B44B-4CF2-B101-17D88B5C5336}" name="dikte"/>
    <tableColumn id="8" xr3:uid="{033120AA-2F13-410A-B74B-544C015296E1}" name="gewicht [kg]" dataDxfId="41"/>
    <tableColumn id="9" xr3:uid="{593141A5-404D-4B22-B142-0C6DB8FD4057}" name="lcg [m]" dataDxfId="40"/>
    <tableColumn id="10" xr3:uid="{1F115853-8A75-4970-9004-528234036649}" name="tcg" dataDxfId="39"/>
    <tableColumn id="11" xr3:uid="{18E608D0-B038-49A4-B817-55173DD28380}" name="vcg" dataDxfId="38"/>
    <tableColumn id="12" xr3:uid="{ABBB2E95-E60C-44A5-9260-DF972C1FA551}" name="Mx [kgm]" dataDxfId="37"/>
    <tableColumn id="13" xr3:uid="{C2C9B9E2-067A-4ADF-A594-41BDED115D6E}" name="My" dataDxfId="36"/>
    <tableColumn id="14" xr3:uid="{2B60838E-F15A-47F6-A00F-829F32BFDF5E}" name="Mz" dataDxfId="3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ABED2-CC10-48E7-A966-A826E8980B76}" name="Table410" displayName="Table410" ref="A51:N54" headerRowCount="0" totalsRowShown="0" headerRowDxfId="34">
  <tableColumns count="14">
    <tableColumn id="1" xr3:uid="{AE7B8DE4-65BF-421C-B479-AAB8A6499817}" name="beschrijving" dataDxfId="33" totalsRowDxfId="32"/>
    <tableColumn id="2" xr3:uid="{D6769855-083B-435D-924D-DDF635B26810}" name="Column2" totalsRowDxfId="31"/>
    <tableColumn id="3" xr3:uid="{05B324D6-E6C9-472A-931B-622CBACA50EC}" name="Column3" totalsRowDxfId="30"/>
    <tableColumn id="4" xr3:uid="{F309A3C9-AC82-4052-9C14-4F90AE827083}" name="Column4" totalsRowDxfId="29"/>
    <tableColumn id="5" xr3:uid="{E50CAF57-35C1-4673-B481-8DF5CF7C15E0}" name="Column5" dataDxfId="28" totalsRowDxfId="27"/>
    <tableColumn id="6" xr3:uid="{B80D202F-3AC8-43B9-BEBF-FE92F8B28B7D}" name="Column6" headerRowDxfId="26" totalsRowDxfId="25"/>
    <tableColumn id="7" xr3:uid="{EFAD11DA-79C6-43BD-A196-5939FBEF7D17}" name="Column7" totalsRowDxfId="24"/>
    <tableColumn id="8" xr3:uid="{AE7DE1E4-BDD7-4D8A-91EC-3C0753AD0ADB}" name="gewicht [kg]" headerRowDxfId="23" totalsRowDxfId="22"/>
    <tableColumn id="9" xr3:uid="{089998E5-638D-4843-88F5-6A39E9DC9126}" name="lcg" headerRowDxfId="21" dataDxfId="20" totalsRowDxfId="19"/>
    <tableColumn id="10" xr3:uid="{3E9BB715-9829-471E-BDBF-7157A552346D}" name="tcg" headerRowDxfId="18" dataDxfId="17" totalsRowDxfId="16"/>
    <tableColumn id="11" xr3:uid="{6385069C-2D61-4A6C-928F-962DCBEA14CA}" name="vcg" headerRowDxfId="15" dataDxfId="14" totalsRowDxfId="13"/>
    <tableColumn id="12" xr3:uid="{CB2CA156-5F57-4102-AD74-16B3EC8A29D7}" name="Mx" headerRowDxfId="12" dataDxfId="11" totalsRowDxfId="10"/>
    <tableColumn id="13" xr3:uid="{CBD11159-C7EA-4BDA-9B70-E65CC64B586B}" name="My" headerRowDxfId="9" dataDxfId="8" totalsRowDxfId="7"/>
    <tableColumn id="14" xr3:uid="{161B93DC-1AB0-4166-857B-77AB0514657A}" name="Mz" headerRowDxfId="6" dataDxfId="5" totalsRow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D573-FC1E-4667-8FE1-DE4F9538315C}">
  <dimension ref="A1:P95"/>
  <sheetViews>
    <sheetView tabSelected="1" zoomScale="85" zoomScaleNormal="85" workbookViewId="0">
      <pane xSplit="1" ySplit="8" topLeftCell="B9" activePane="bottomRight" state="frozen"/>
      <selection pane="topRight" activeCell="B1" sqref="B1"/>
      <selection pane="bottomLeft" activeCell="A4" sqref="A4"/>
      <selection pane="bottomRight" activeCell="J76" sqref="J76:O96"/>
    </sheetView>
  </sheetViews>
  <sheetFormatPr defaultRowHeight="14.4" outlineLevelRow="2" outlineLevelCol="1" x14ac:dyDescent="0.3"/>
  <cols>
    <col min="1" max="1" width="47.5546875" customWidth="1"/>
    <col min="2" max="2" width="12.44140625" hidden="1" customWidth="1" outlineLevel="1"/>
    <col min="3" max="3" width="12.6640625" hidden="1" customWidth="1" outlineLevel="1"/>
    <col min="4" max="4" width="12.44140625" hidden="1" customWidth="1" outlineLevel="1"/>
    <col min="5" max="5" width="15" hidden="1" customWidth="1" outlineLevel="1"/>
    <col min="6" max="6" width="12.44140625" hidden="1" customWidth="1" outlineLevel="1"/>
    <col min="7" max="7" width="9.5546875" hidden="1" customWidth="1" outlineLevel="1"/>
    <col min="8" max="8" width="16.33203125" customWidth="1" collapsed="1"/>
    <col min="9" max="9" width="12.44140625" customWidth="1"/>
    <col min="10" max="11" width="13.6640625" customWidth="1"/>
    <col min="12" max="12" width="18.33203125" customWidth="1"/>
    <col min="13" max="13" width="18.6640625" customWidth="1"/>
    <col min="14" max="14" width="17.21875" customWidth="1"/>
    <col min="16" max="16" width="11.33203125" bestFit="1" customWidth="1"/>
  </cols>
  <sheetData>
    <row r="1" spans="1:16" ht="28.8" x14ac:dyDescent="0.55000000000000004">
      <c r="A1" s="1" t="s">
        <v>0</v>
      </c>
    </row>
    <row r="2" spans="1:16" ht="18" customHeight="1" x14ac:dyDescent="0.3">
      <c r="H2" s="2" t="s">
        <v>1</v>
      </c>
    </row>
    <row r="3" spans="1:16" ht="18" customHeight="1" x14ac:dyDescent="0.3">
      <c r="H3" s="2" t="s">
        <v>2</v>
      </c>
    </row>
    <row r="4" spans="1:16" ht="18" customHeight="1" x14ac:dyDescent="0.3">
      <c r="H4" s="2" t="s">
        <v>3</v>
      </c>
    </row>
    <row r="5" spans="1:16" ht="18" customHeight="1" x14ac:dyDescent="0.55000000000000004">
      <c r="A5" s="1"/>
      <c r="H5" s="2" t="s">
        <v>4</v>
      </c>
    </row>
    <row r="6" spans="1:16" ht="18" customHeight="1" thickBot="1" x14ac:dyDescent="0.6">
      <c r="A6" s="1"/>
    </row>
    <row r="7" spans="1:16" ht="21.6" thickBot="1" x14ac:dyDescent="0.45">
      <c r="A7" s="3" t="s">
        <v>5</v>
      </c>
      <c r="B7" s="4" t="s">
        <v>6</v>
      </c>
      <c r="C7" s="5"/>
      <c r="D7" s="5"/>
      <c r="E7" s="5"/>
      <c r="F7" s="5"/>
      <c r="G7" s="6"/>
      <c r="H7" s="4" t="s">
        <v>7</v>
      </c>
      <c r="I7" s="5"/>
      <c r="J7" s="5"/>
      <c r="K7" s="5"/>
      <c r="L7" s="5" t="s">
        <v>45</v>
      </c>
      <c r="M7" s="5"/>
      <c r="N7" s="6"/>
    </row>
    <row r="8" spans="1:16" s="9" customFormat="1" ht="35.4" customHeight="1" x14ac:dyDescent="0.4">
      <c r="A8" s="7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P8" s="9" t="s">
        <v>22</v>
      </c>
    </row>
    <row r="9" spans="1:16" s="15" customFormat="1" ht="18" x14ac:dyDescent="0.35">
      <c r="A9" s="10" t="s">
        <v>23</v>
      </c>
      <c r="B9" s="11"/>
      <c r="C9" s="11"/>
      <c r="D9" s="11"/>
      <c r="E9" s="11"/>
      <c r="F9" s="11"/>
      <c r="G9" s="11"/>
      <c r="H9" s="12">
        <v>920000</v>
      </c>
      <c r="I9" s="13">
        <v>76.092500000000001</v>
      </c>
      <c r="J9" s="13">
        <v>0</v>
      </c>
      <c r="K9" s="13">
        <v>17.998999999999999</v>
      </c>
      <c r="L9" s="14">
        <v>70005100</v>
      </c>
      <c r="M9" s="14">
        <v>0</v>
      </c>
      <c r="N9" s="14">
        <v>16559079.999999998</v>
      </c>
      <c r="P9" s="16">
        <v>9025200</v>
      </c>
    </row>
    <row r="10" spans="1:16" ht="15" thickBot="1" x14ac:dyDescent="0.35">
      <c r="A10" t="s">
        <v>46</v>
      </c>
      <c r="B10" s="17">
        <v>4</v>
      </c>
      <c r="H10">
        <v>920000</v>
      </c>
      <c r="I10" s="18">
        <v>76.092500000000001</v>
      </c>
      <c r="J10" s="18">
        <v>0</v>
      </c>
      <c r="K10" s="18">
        <v>17.998999999999999</v>
      </c>
      <c r="L10" s="16">
        <v>70005100</v>
      </c>
      <c r="M10" s="16">
        <v>0</v>
      </c>
      <c r="N10" s="16">
        <v>16559079.999999998</v>
      </c>
      <c r="P10" s="16">
        <v>9025200</v>
      </c>
    </row>
    <row r="11" spans="1:16" ht="15" outlineLevel="1" thickTop="1" x14ac:dyDescent="0.3">
      <c r="A11" t="s">
        <v>24</v>
      </c>
      <c r="B11" s="19">
        <v>0</v>
      </c>
      <c r="C11" s="20" t="s">
        <v>25</v>
      </c>
      <c r="H11" s="16">
        <v>0</v>
      </c>
      <c r="I11" s="18">
        <v>11</v>
      </c>
      <c r="J11" s="18">
        <v>0</v>
      </c>
      <c r="K11" s="18">
        <v>8.9989999999999988</v>
      </c>
      <c r="L11" s="16">
        <v>0</v>
      </c>
      <c r="M11" s="16">
        <v>0</v>
      </c>
      <c r="N11" s="16">
        <v>0</v>
      </c>
      <c r="P11" s="16">
        <v>0</v>
      </c>
    </row>
    <row r="12" spans="1:16" outlineLevel="1" x14ac:dyDescent="0.3">
      <c r="A12" t="s">
        <v>47</v>
      </c>
      <c r="B12">
        <v>0</v>
      </c>
      <c r="H12" s="16">
        <v>0</v>
      </c>
      <c r="I12" s="18">
        <v>-3.142135623730951</v>
      </c>
      <c r="J12" s="18">
        <v>1.7326215608522128E-15</v>
      </c>
      <c r="K12" s="18">
        <v>23.141135623730946</v>
      </c>
      <c r="L12" s="16">
        <v>0</v>
      </c>
      <c r="M12" s="16">
        <v>0</v>
      </c>
      <c r="N12" s="16">
        <v>0</v>
      </c>
      <c r="P12" s="16">
        <v>0</v>
      </c>
    </row>
    <row r="13" spans="1:16" outlineLevel="1" x14ac:dyDescent="0.3">
      <c r="A13" t="s">
        <v>48</v>
      </c>
      <c r="B13">
        <v>0</v>
      </c>
      <c r="H13" s="16">
        <v>0</v>
      </c>
      <c r="I13" s="18">
        <v>-17.284271247461902</v>
      </c>
      <c r="J13" s="18">
        <v>3.4652431217044256E-15</v>
      </c>
      <c r="K13" s="18">
        <v>37.283271247461897</v>
      </c>
      <c r="L13" s="16">
        <v>0</v>
      </c>
      <c r="M13" s="16">
        <v>0</v>
      </c>
      <c r="N13" s="16">
        <v>0</v>
      </c>
      <c r="P13" s="16">
        <v>0</v>
      </c>
    </row>
    <row r="14" spans="1:16" outlineLevel="1" x14ac:dyDescent="0.3">
      <c r="A14" t="s">
        <v>26</v>
      </c>
      <c r="B14">
        <v>0</v>
      </c>
      <c r="H14" s="16">
        <v>0</v>
      </c>
      <c r="I14" s="18">
        <v>-17.284271247461902</v>
      </c>
      <c r="J14" s="18">
        <v>3.4652431217044256E-15</v>
      </c>
      <c r="K14" s="18">
        <v>37.283271247461897</v>
      </c>
      <c r="L14" s="16">
        <v>0</v>
      </c>
      <c r="M14" s="16">
        <v>0</v>
      </c>
      <c r="N14" s="16">
        <v>0</v>
      </c>
      <c r="P14" s="16">
        <v>0</v>
      </c>
    </row>
    <row r="15" spans="1:16" s="15" customFormat="1" ht="18" x14ac:dyDescent="0.35">
      <c r="A15" s="10" t="s">
        <v>27</v>
      </c>
      <c r="B15" s="19">
        <v>1</v>
      </c>
      <c r="C15" s="20" t="s">
        <v>25</v>
      </c>
      <c r="H15" s="13">
        <v>1139800.7101950001</v>
      </c>
      <c r="I15" s="13">
        <v>70.980805247615663</v>
      </c>
      <c r="J15" s="13">
        <v>0</v>
      </c>
      <c r="K15" s="13">
        <v>5.0478855445875954</v>
      </c>
      <c r="L15" s="14">
        <v>80903972.231445327</v>
      </c>
      <c r="M15" s="14">
        <v>0</v>
      </c>
      <c r="N15" s="14">
        <v>5753583.5287040155</v>
      </c>
      <c r="P15" s="16">
        <v>11181444.967012951</v>
      </c>
    </row>
    <row r="16" spans="1:16" outlineLevel="1" x14ac:dyDescent="0.3">
      <c r="A16" s="21" t="s">
        <v>49</v>
      </c>
      <c r="B16">
        <v>2.1</v>
      </c>
      <c r="F16" s="22">
        <v>26.237100000000002</v>
      </c>
      <c r="G16" s="23">
        <v>0.01</v>
      </c>
      <c r="H16" s="16">
        <v>4325.1859350000013</v>
      </c>
      <c r="I16" s="18">
        <v>-2.9984000000000002</v>
      </c>
      <c r="J16" s="18">
        <v>0</v>
      </c>
      <c r="K16" s="18">
        <v>6.5922999999999998</v>
      </c>
      <c r="L16" s="16">
        <v>-12968.637507504005</v>
      </c>
      <c r="M16" s="16">
        <v>0</v>
      </c>
      <c r="N16" s="16">
        <v>28512.923239300508</v>
      </c>
      <c r="P16" s="16">
        <v>42430.074022350018</v>
      </c>
    </row>
    <row r="17" spans="1:16" ht="15" outlineLevel="1" thickBot="1" x14ac:dyDescent="0.35">
      <c r="A17" s="21" t="s">
        <v>50</v>
      </c>
      <c r="B17">
        <v>2.1</v>
      </c>
      <c r="F17" s="22">
        <v>3531.1855</v>
      </c>
      <c r="G17" s="17">
        <v>1.2E-2</v>
      </c>
      <c r="H17" s="16">
        <v>698539.1156100001</v>
      </c>
      <c r="I17" s="18">
        <v>72.695499999999996</v>
      </c>
      <c r="J17" s="18">
        <v>0</v>
      </c>
      <c r="K17" s="18">
        <v>3.1924000000000001</v>
      </c>
      <c r="L17" s="16">
        <v>50780650.278826758</v>
      </c>
      <c r="M17" s="16">
        <v>0</v>
      </c>
      <c r="N17" s="16">
        <v>2230016.2726733643</v>
      </c>
      <c r="P17" s="16">
        <v>6852668.7241341015</v>
      </c>
    </row>
    <row r="18" spans="1:16" ht="15" outlineLevel="1" thickTop="1" x14ac:dyDescent="0.3">
      <c r="A18" s="21" t="s">
        <v>51</v>
      </c>
      <c r="B18">
        <v>2.1</v>
      </c>
      <c r="F18" s="22">
        <v>2208.7575000000002</v>
      </c>
      <c r="G18">
        <v>1.2E-2</v>
      </c>
      <c r="H18" s="16">
        <v>436936.40865000006</v>
      </c>
      <c r="I18" s="18">
        <v>68.971800000000002</v>
      </c>
      <c r="J18" s="18">
        <v>0</v>
      </c>
      <c r="K18" s="18">
        <v>7.9989999999999997</v>
      </c>
      <c r="L18" s="16">
        <v>30136290.590126075</v>
      </c>
      <c r="M18" s="16">
        <v>0</v>
      </c>
      <c r="N18" s="16">
        <v>3495054.3327913503</v>
      </c>
      <c r="P18" s="16">
        <v>4286346.1688565006</v>
      </c>
    </row>
    <row r="19" spans="1:16" ht="18" outlineLevel="1" x14ac:dyDescent="0.35">
      <c r="A19" s="10" t="s">
        <v>28</v>
      </c>
      <c r="B19" s="15">
        <v>0</v>
      </c>
      <c r="F19" s="22"/>
      <c r="H19" s="14">
        <v>0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  <c r="P19" s="16">
        <v>0</v>
      </c>
    </row>
    <row r="20" spans="1:16" outlineLevel="1" x14ac:dyDescent="0.3">
      <c r="A20" s="21" t="s">
        <v>49</v>
      </c>
      <c r="B20">
        <v>0</v>
      </c>
      <c r="F20" s="22">
        <v>143.966002</v>
      </c>
      <c r="G20" s="23">
        <v>0.01</v>
      </c>
      <c r="H20" s="16">
        <v>0</v>
      </c>
      <c r="I20" s="18">
        <v>-3.078000000000003</v>
      </c>
      <c r="J20" s="18">
        <v>0</v>
      </c>
      <c r="K20" s="18">
        <v>3.9994999999999998</v>
      </c>
      <c r="L20" s="16">
        <v>0</v>
      </c>
      <c r="M20" s="16">
        <v>0</v>
      </c>
      <c r="N20" s="16">
        <v>0</v>
      </c>
      <c r="P20" s="16">
        <v>0</v>
      </c>
    </row>
    <row r="21" spans="1:16" outlineLevel="1" x14ac:dyDescent="0.3">
      <c r="A21" s="21" t="s">
        <v>52</v>
      </c>
      <c r="B21">
        <v>0</v>
      </c>
      <c r="F21" s="22">
        <v>2399.6999999999998</v>
      </c>
      <c r="G21">
        <v>0.02</v>
      </c>
      <c r="H21" s="16">
        <v>0</v>
      </c>
      <c r="I21" s="18">
        <v>71.921999999999997</v>
      </c>
      <c r="J21" s="18">
        <v>0</v>
      </c>
      <c r="K21" s="18">
        <v>3.9994999999999998</v>
      </c>
      <c r="L21" s="16">
        <v>0</v>
      </c>
      <c r="M21" s="16">
        <v>0</v>
      </c>
      <c r="N21" s="16">
        <v>0</v>
      </c>
      <c r="P21" s="16">
        <v>0</v>
      </c>
    </row>
    <row r="22" spans="1:16" outlineLevel="1" x14ac:dyDescent="0.3">
      <c r="A22" s="21" t="s">
        <v>53</v>
      </c>
      <c r="B22">
        <v>0</v>
      </c>
      <c r="F22" s="22">
        <v>5399.4000000000005</v>
      </c>
      <c r="G22">
        <v>0.02</v>
      </c>
      <c r="H22" s="16">
        <v>0</v>
      </c>
      <c r="I22" s="18">
        <v>71.921999999999997</v>
      </c>
      <c r="J22" s="18">
        <v>0</v>
      </c>
      <c r="K22" s="18">
        <v>3.9994999999999998</v>
      </c>
      <c r="L22" s="16">
        <v>0</v>
      </c>
      <c r="M22" s="16">
        <v>0</v>
      </c>
      <c r="N22" s="16">
        <v>0</v>
      </c>
      <c r="P22" s="16">
        <v>0</v>
      </c>
    </row>
    <row r="23" spans="1:16" outlineLevel="1" x14ac:dyDescent="0.3">
      <c r="A23" s="21" t="s">
        <v>54</v>
      </c>
      <c r="B23">
        <v>0</v>
      </c>
      <c r="F23" s="22">
        <v>143.966002</v>
      </c>
      <c r="G23" s="23">
        <v>0.01</v>
      </c>
      <c r="H23" s="16">
        <v>0</v>
      </c>
      <c r="I23" s="18">
        <v>146.922</v>
      </c>
      <c r="J23" s="18">
        <v>0</v>
      </c>
      <c r="K23" s="18">
        <v>3.9994999999999998</v>
      </c>
      <c r="L23" s="16">
        <v>0</v>
      </c>
      <c r="M23" s="16">
        <v>0</v>
      </c>
      <c r="N23" s="16">
        <v>0</v>
      </c>
      <c r="P23" s="16">
        <v>0</v>
      </c>
    </row>
    <row r="24" spans="1:16" s="15" customFormat="1" ht="18" x14ac:dyDescent="0.35">
      <c r="A24" s="10" t="s">
        <v>55</v>
      </c>
      <c r="F24" s="24"/>
      <c r="H24" s="12">
        <v>444126.34140000003</v>
      </c>
      <c r="I24" s="13">
        <v>75.121161636153346</v>
      </c>
      <c r="J24" s="13">
        <v>-3.2765260404270293E-16</v>
      </c>
      <c r="K24" s="13">
        <v>3.7259642587275126</v>
      </c>
      <c r="L24" s="14">
        <v>33363286.679182827</v>
      </c>
      <c r="M24" s="14">
        <v>-1.4551915228366852E-10</v>
      </c>
      <c r="N24" s="14">
        <v>1654798.8744158132</v>
      </c>
      <c r="P24" s="16">
        <v>4356879.4091340005</v>
      </c>
    </row>
    <row r="25" spans="1:16" outlineLevel="1" x14ac:dyDescent="0.3">
      <c r="A25" t="s">
        <v>56</v>
      </c>
      <c r="B25">
        <v>2.1</v>
      </c>
      <c r="E25" s="16">
        <v>0</v>
      </c>
      <c r="F25" s="18">
        <v>222.934</v>
      </c>
      <c r="G25" s="25">
        <v>0.01</v>
      </c>
      <c r="H25" s="16">
        <v>36750.669900000001</v>
      </c>
      <c r="I25" s="18">
        <v>109.2877</v>
      </c>
      <c r="J25" s="18">
        <v>5</v>
      </c>
      <c r="K25" s="18">
        <v>5.2074999999999996</v>
      </c>
      <c r="L25" s="16">
        <v>4016396.1868302301</v>
      </c>
      <c r="M25" s="16">
        <v>183753.34950000001</v>
      </c>
      <c r="N25" s="16">
        <v>191379.11350424998</v>
      </c>
      <c r="P25" s="16">
        <v>360524.071719</v>
      </c>
    </row>
    <row r="26" spans="1:16" outlineLevel="1" x14ac:dyDescent="0.3">
      <c r="A26" t="s">
        <v>57</v>
      </c>
      <c r="B26">
        <v>2.1</v>
      </c>
      <c r="E26" s="16">
        <v>0</v>
      </c>
      <c r="F26" s="18">
        <v>203.96600000000001</v>
      </c>
      <c r="G26">
        <v>0.01</v>
      </c>
      <c r="H26" s="16">
        <v>33623.795100000003</v>
      </c>
      <c r="I26" s="18">
        <v>73.406300000000002</v>
      </c>
      <c r="J26" s="18">
        <v>5</v>
      </c>
      <c r="K26" s="18">
        <v>4.9995000000000003</v>
      </c>
      <c r="L26" s="16">
        <v>2468198.3902491303</v>
      </c>
      <c r="M26" s="16">
        <v>168118.9755</v>
      </c>
      <c r="N26" s="16">
        <v>168102.16360245002</v>
      </c>
      <c r="P26" s="16">
        <v>329849.42993100005</v>
      </c>
    </row>
    <row r="27" spans="1:16" outlineLevel="1" x14ac:dyDescent="0.3">
      <c r="A27" t="s">
        <v>58</v>
      </c>
      <c r="B27">
        <v>2.1</v>
      </c>
      <c r="E27" s="16">
        <v>0</v>
      </c>
      <c r="F27" s="18">
        <v>259.5949</v>
      </c>
      <c r="G27">
        <v>0.01</v>
      </c>
      <c r="H27" s="16">
        <v>42794.219265000007</v>
      </c>
      <c r="I27" s="18">
        <v>33.039900000000003</v>
      </c>
      <c r="J27" s="18">
        <v>5</v>
      </c>
      <c r="K27" s="18">
        <v>5.4861000000000004</v>
      </c>
      <c r="L27" s="16">
        <v>1413916.7250936739</v>
      </c>
      <c r="M27" s="16">
        <v>213971.09632500005</v>
      </c>
      <c r="N27" s="16">
        <v>234773.36630971657</v>
      </c>
      <c r="P27" s="16">
        <v>419811.29098965006</v>
      </c>
    </row>
    <row r="28" spans="1:16" outlineLevel="1" x14ac:dyDescent="0.3">
      <c r="A28" t="s">
        <v>59</v>
      </c>
      <c r="B28">
        <v>2.1</v>
      </c>
      <c r="E28" s="16">
        <v>0</v>
      </c>
      <c r="F28" s="18">
        <v>170</v>
      </c>
      <c r="G28">
        <v>0.01</v>
      </c>
      <c r="H28" s="16">
        <v>28024.5</v>
      </c>
      <c r="I28" s="18">
        <v>73.406300000000002</v>
      </c>
      <c r="J28" s="18">
        <v>2.5</v>
      </c>
      <c r="K28" s="18">
        <v>2</v>
      </c>
      <c r="L28" s="16">
        <v>2057174.8543500002</v>
      </c>
      <c r="M28" s="16">
        <v>70061.25</v>
      </c>
      <c r="N28" s="16">
        <v>56049</v>
      </c>
      <c r="P28" s="16">
        <v>274920.34500000003</v>
      </c>
    </row>
    <row r="29" spans="1:16" outlineLevel="1" x14ac:dyDescent="0.3">
      <c r="A29" t="s">
        <v>60</v>
      </c>
      <c r="B29">
        <v>2.1</v>
      </c>
      <c r="E29" s="16">
        <v>0</v>
      </c>
      <c r="F29" s="18">
        <v>138.71639999999999</v>
      </c>
      <c r="G29">
        <v>0.01</v>
      </c>
      <c r="H29" s="16">
        <v>22867.398540000002</v>
      </c>
      <c r="I29" s="18">
        <v>42.316600000000001</v>
      </c>
      <c r="J29" s="18">
        <v>2.3309000000000002</v>
      </c>
      <c r="K29" s="18">
        <v>2</v>
      </c>
      <c r="L29" s="16">
        <v>967670.55705776415</v>
      </c>
      <c r="M29" s="16">
        <v>53301.619256886006</v>
      </c>
      <c r="N29" s="16">
        <v>45734.797080000004</v>
      </c>
      <c r="P29" s="16">
        <v>224329.17967740004</v>
      </c>
    </row>
    <row r="30" spans="1:16" outlineLevel="1" x14ac:dyDescent="0.3">
      <c r="A30" t="s">
        <v>61</v>
      </c>
      <c r="B30">
        <v>2.1</v>
      </c>
      <c r="E30" s="16">
        <v>0</v>
      </c>
      <c r="F30" s="18">
        <v>196.17189999999999</v>
      </c>
      <c r="G30">
        <v>0.01</v>
      </c>
      <c r="H30" s="16">
        <v>32338.937715000004</v>
      </c>
      <c r="I30" s="18">
        <v>110.7647</v>
      </c>
      <c r="J30" s="18">
        <v>2.2195</v>
      </c>
      <c r="K30" s="18">
        <v>2</v>
      </c>
      <c r="L30" s="16">
        <v>3582012.7343206611</v>
      </c>
      <c r="M30" s="16">
        <v>71776.272258442506</v>
      </c>
      <c r="N30" s="16">
        <v>64677.875430000007</v>
      </c>
      <c r="P30" s="16">
        <v>317244.97898415005</v>
      </c>
    </row>
    <row r="31" spans="1:16" outlineLevel="1" x14ac:dyDescent="0.3">
      <c r="A31" t="s">
        <v>62</v>
      </c>
      <c r="B31">
        <v>2.1</v>
      </c>
      <c r="E31" s="16">
        <v>0</v>
      </c>
      <c r="F31" s="18">
        <v>191.3776</v>
      </c>
      <c r="G31">
        <v>0.01</v>
      </c>
      <c r="H31" s="16">
        <v>31548.597360000003</v>
      </c>
      <c r="I31" s="18">
        <v>91.942800000000005</v>
      </c>
      <c r="J31" s="18">
        <v>0</v>
      </c>
      <c r="K31" s="18">
        <v>1.093</v>
      </c>
      <c r="L31" s="16">
        <v>2900666.3773510084</v>
      </c>
      <c r="M31" s="16">
        <v>0</v>
      </c>
      <c r="N31" s="16">
        <v>34482.616914480001</v>
      </c>
      <c r="P31" s="16">
        <v>309491.74010160007</v>
      </c>
    </row>
    <row r="32" spans="1:16" outlineLevel="1" x14ac:dyDescent="0.3">
      <c r="A32" t="s">
        <v>63</v>
      </c>
      <c r="B32">
        <v>2.1</v>
      </c>
      <c r="E32" s="16">
        <v>0</v>
      </c>
      <c r="F32" s="18">
        <v>170</v>
      </c>
      <c r="G32">
        <v>0.01</v>
      </c>
      <c r="H32" s="16">
        <v>28024.5</v>
      </c>
      <c r="I32" s="18">
        <v>73.406300000000002</v>
      </c>
      <c r="J32" s="18">
        <v>-2.5</v>
      </c>
      <c r="K32" s="18">
        <v>2</v>
      </c>
      <c r="L32" s="16">
        <v>2057174.8543500002</v>
      </c>
      <c r="M32" s="16">
        <v>-70061.25</v>
      </c>
      <c r="N32" s="16">
        <v>56049</v>
      </c>
      <c r="P32" s="16">
        <v>274920.34500000003</v>
      </c>
    </row>
    <row r="33" spans="1:16" outlineLevel="1" x14ac:dyDescent="0.3">
      <c r="A33" t="s">
        <v>64</v>
      </c>
      <c r="B33">
        <v>2.1</v>
      </c>
      <c r="E33" s="16">
        <v>0</v>
      </c>
      <c r="F33" s="18">
        <v>203.96600000000001</v>
      </c>
      <c r="G33">
        <v>0.01</v>
      </c>
      <c r="H33" s="16">
        <v>33623.795100000003</v>
      </c>
      <c r="I33" s="18">
        <v>73.406300000000002</v>
      </c>
      <c r="J33" s="18">
        <v>-5</v>
      </c>
      <c r="K33" s="18">
        <v>4.9995000000000003</v>
      </c>
      <c r="L33" s="16">
        <v>2468198.3902491303</v>
      </c>
      <c r="M33" s="16">
        <v>-168118.9755</v>
      </c>
      <c r="N33" s="16">
        <v>168102.16360245002</v>
      </c>
      <c r="P33" s="16">
        <v>329849.42993100005</v>
      </c>
    </row>
    <row r="34" spans="1:16" ht="14.4" customHeight="1" outlineLevel="2" x14ac:dyDescent="0.3">
      <c r="A34" t="s">
        <v>65</v>
      </c>
      <c r="B34">
        <v>2.1</v>
      </c>
      <c r="E34" s="16">
        <v>9889.3515000000007</v>
      </c>
      <c r="F34" s="18">
        <v>59.99</v>
      </c>
      <c r="G34">
        <v>0.01</v>
      </c>
      <c r="H34" s="16">
        <v>9889.3515000000007</v>
      </c>
      <c r="I34" s="18">
        <v>90.406300000000002</v>
      </c>
      <c r="J34" s="18">
        <v>0</v>
      </c>
      <c r="K34" s="18">
        <v>4.9995000000000003</v>
      </c>
      <c r="L34" s="16">
        <v>894059.67851445009</v>
      </c>
      <c r="M34" s="16">
        <v>0</v>
      </c>
      <c r="N34" s="16">
        <v>49441.81282425001</v>
      </c>
      <c r="P34" s="16">
        <v>97014.538215000008</v>
      </c>
    </row>
    <row r="35" spans="1:16" ht="14.4" customHeight="1" outlineLevel="2" x14ac:dyDescent="0.3">
      <c r="A35" t="s">
        <v>66</v>
      </c>
      <c r="B35">
        <v>2.1</v>
      </c>
      <c r="E35" s="16">
        <v>9889.3515000000007</v>
      </c>
      <c r="F35" s="18">
        <v>59.99</v>
      </c>
      <c r="G35">
        <v>0.01</v>
      </c>
      <c r="H35" s="16">
        <v>9889.3515000000007</v>
      </c>
      <c r="I35" s="18">
        <v>56.406300000000002</v>
      </c>
      <c r="J35" s="18">
        <v>0</v>
      </c>
      <c r="K35" s="18">
        <v>4.9995000000000003</v>
      </c>
      <c r="L35" s="16">
        <v>557821.72751445009</v>
      </c>
      <c r="M35" s="16">
        <v>0</v>
      </c>
      <c r="N35" s="16">
        <v>49441.81282425001</v>
      </c>
      <c r="P35" s="16">
        <v>97014.538215000008</v>
      </c>
    </row>
    <row r="36" spans="1:16" ht="14.4" customHeight="1" outlineLevel="2" x14ac:dyDescent="0.3">
      <c r="A36" t="s">
        <v>67</v>
      </c>
      <c r="B36">
        <v>2.1</v>
      </c>
      <c r="E36" s="16">
        <v>0</v>
      </c>
      <c r="F36" s="18">
        <v>259.5949</v>
      </c>
      <c r="G36">
        <v>0.01</v>
      </c>
      <c r="H36" s="16">
        <v>42794.219265000007</v>
      </c>
      <c r="I36" s="18">
        <v>33.039900000000003</v>
      </c>
      <c r="J36" s="18">
        <v>-5</v>
      </c>
      <c r="K36" s="18">
        <v>5.4861000000000004</v>
      </c>
      <c r="L36" s="16">
        <v>1413916.7250936739</v>
      </c>
      <c r="M36" s="16">
        <v>-213971.09632500005</v>
      </c>
      <c r="N36" s="16">
        <v>234773.36630971657</v>
      </c>
      <c r="P36" s="16">
        <v>419811.29098965006</v>
      </c>
    </row>
    <row r="37" spans="1:16" ht="14.4" customHeight="1" outlineLevel="2" x14ac:dyDescent="0.3">
      <c r="A37" t="s">
        <v>68</v>
      </c>
      <c r="B37">
        <v>2.1</v>
      </c>
      <c r="E37" s="16">
        <v>0</v>
      </c>
      <c r="F37" s="18">
        <v>222.934</v>
      </c>
      <c r="G37">
        <v>0.01</v>
      </c>
      <c r="H37" s="16">
        <v>36750.669900000001</v>
      </c>
      <c r="I37" s="18">
        <v>109.2877</v>
      </c>
      <c r="J37" s="18">
        <v>-5</v>
      </c>
      <c r="K37" s="18">
        <v>5.2074999999999996</v>
      </c>
      <c r="L37" s="16">
        <v>4016396.1868302301</v>
      </c>
      <c r="M37" s="16">
        <v>-183753.34950000001</v>
      </c>
      <c r="N37" s="16">
        <v>191379.11350424998</v>
      </c>
      <c r="P37" s="16">
        <v>360524.071719</v>
      </c>
    </row>
    <row r="38" spans="1:16" ht="14.4" customHeight="1" outlineLevel="2" x14ac:dyDescent="0.3">
      <c r="A38" t="s">
        <v>69</v>
      </c>
      <c r="B38">
        <v>2.1</v>
      </c>
      <c r="E38" s="16">
        <v>0</v>
      </c>
      <c r="F38" s="18">
        <v>138.71639999999999</v>
      </c>
      <c r="G38">
        <v>0.01</v>
      </c>
      <c r="H38" s="16">
        <v>22867.398540000002</v>
      </c>
      <c r="I38" s="18">
        <v>42.316600000000001</v>
      </c>
      <c r="J38" s="18">
        <v>-2.3309000000000002</v>
      </c>
      <c r="K38" s="18">
        <v>2</v>
      </c>
      <c r="L38" s="16">
        <v>967670.55705776415</v>
      </c>
      <c r="M38" s="16">
        <v>-53301.619256886006</v>
      </c>
      <c r="N38" s="16">
        <v>45734.797080000004</v>
      </c>
      <c r="P38" s="16">
        <v>224329.17967740004</v>
      </c>
    </row>
    <row r="39" spans="1:16" outlineLevel="2" x14ac:dyDescent="0.3">
      <c r="A39" t="s">
        <v>70</v>
      </c>
      <c r="B39">
        <v>2.1</v>
      </c>
      <c r="E39" s="16">
        <v>0</v>
      </c>
      <c r="F39" s="18">
        <v>196.17189999999999</v>
      </c>
      <c r="G39">
        <v>0.01</v>
      </c>
      <c r="H39" s="16">
        <v>32338.937715000004</v>
      </c>
      <c r="I39" s="18">
        <v>110.7647</v>
      </c>
      <c r="J39" s="18">
        <v>-2.2195</v>
      </c>
      <c r="K39" s="18">
        <v>2</v>
      </c>
      <c r="L39" s="16">
        <v>3582012.7343206611</v>
      </c>
      <c r="M39" s="16">
        <v>-71776.272258442506</v>
      </c>
      <c r="N39" s="16">
        <v>64677.875430000007</v>
      </c>
      <c r="P39" s="16">
        <v>317244.97898415005</v>
      </c>
    </row>
    <row r="40" spans="1:16" outlineLevel="2" x14ac:dyDescent="0.3">
      <c r="A40" t="s">
        <v>71</v>
      </c>
      <c r="B40">
        <v>2.1</v>
      </c>
      <c r="E40" s="16">
        <v>0</v>
      </c>
      <c r="F40" s="18">
        <v>0</v>
      </c>
      <c r="G40">
        <v>0.01</v>
      </c>
      <c r="H40" s="16">
        <v>0</v>
      </c>
      <c r="I40" s="18">
        <v>0</v>
      </c>
      <c r="J40" s="18">
        <v>0</v>
      </c>
      <c r="K40" s="18">
        <v>0</v>
      </c>
      <c r="L40" s="16">
        <v>0</v>
      </c>
      <c r="M40" s="16">
        <v>0</v>
      </c>
      <c r="N40" s="16">
        <v>0</v>
      </c>
      <c r="P40" s="16">
        <v>0</v>
      </c>
    </row>
    <row r="41" spans="1:16" outlineLevel="2" x14ac:dyDescent="0.3">
      <c r="A41" t="s">
        <v>72</v>
      </c>
      <c r="B41">
        <v>2.1</v>
      </c>
      <c r="E41" s="16">
        <v>0</v>
      </c>
      <c r="F41" s="18">
        <v>0</v>
      </c>
      <c r="G41">
        <v>0.01</v>
      </c>
      <c r="H41" s="16">
        <v>0</v>
      </c>
      <c r="I41" s="18">
        <v>0</v>
      </c>
      <c r="J41" s="18">
        <v>0</v>
      </c>
      <c r="K41" s="18">
        <v>0</v>
      </c>
      <c r="L41" s="16">
        <v>0</v>
      </c>
      <c r="M41" s="16">
        <v>0</v>
      </c>
      <c r="N41" s="16">
        <v>0</v>
      </c>
      <c r="P41" s="16">
        <v>0</v>
      </c>
    </row>
    <row r="42" spans="1:16" outlineLevel="2" x14ac:dyDescent="0.3">
      <c r="A42" t="s">
        <v>73</v>
      </c>
      <c r="B42">
        <v>2.1</v>
      </c>
      <c r="E42" s="16">
        <v>0</v>
      </c>
      <c r="F42" s="18">
        <v>0</v>
      </c>
      <c r="G42">
        <v>0.01</v>
      </c>
      <c r="H42" s="16">
        <v>0</v>
      </c>
      <c r="I42" s="18">
        <v>0</v>
      </c>
      <c r="J42" s="18">
        <v>0</v>
      </c>
      <c r="K42" s="18">
        <v>0</v>
      </c>
      <c r="L42" s="16">
        <v>0</v>
      </c>
      <c r="M42" s="16">
        <v>0</v>
      </c>
      <c r="N42" s="16">
        <v>0</v>
      </c>
      <c r="P42" s="16">
        <v>0</v>
      </c>
    </row>
    <row r="43" spans="1:16" outlineLevel="2" x14ac:dyDescent="0.3">
      <c r="A43" t="s">
        <v>74</v>
      </c>
      <c r="B43">
        <v>2.1</v>
      </c>
      <c r="E43" s="16">
        <v>0</v>
      </c>
      <c r="F43" s="18">
        <v>0</v>
      </c>
      <c r="G43">
        <v>0.01</v>
      </c>
      <c r="H43" s="16">
        <v>0</v>
      </c>
      <c r="I43" s="18">
        <v>0</v>
      </c>
      <c r="J43" s="18">
        <v>0</v>
      </c>
      <c r="K43" s="18">
        <v>0</v>
      </c>
      <c r="L43" s="16">
        <v>0</v>
      </c>
      <c r="M43" s="16">
        <v>0</v>
      </c>
      <c r="N43" s="16">
        <v>0</v>
      </c>
      <c r="P43" s="16">
        <v>0</v>
      </c>
    </row>
    <row r="44" spans="1:16" outlineLevel="2" x14ac:dyDescent="0.3">
      <c r="A44" t="s">
        <v>75</v>
      </c>
      <c r="B44">
        <v>2.1</v>
      </c>
      <c r="E44" s="16">
        <v>0</v>
      </c>
      <c r="F44" s="18">
        <v>0</v>
      </c>
      <c r="G44">
        <v>0.01</v>
      </c>
      <c r="H44" s="16">
        <v>0</v>
      </c>
      <c r="I44" s="18">
        <v>0</v>
      </c>
      <c r="J44" s="18">
        <v>0</v>
      </c>
      <c r="K44" s="18">
        <v>0</v>
      </c>
      <c r="L44" s="16">
        <v>0</v>
      </c>
      <c r="M44" s="16">
        <v>0</v>
      </c>
      <c r="N44" s="16">
        <v>0</v>
      </c>
      <c r="P44" s="16">
        <v>0</v>
      </c>
    </row>
    <row r="45" spans="1:16" outlineLevel="2" x14ac:dyDescent="0.3">
      <c r="A45" t="s">
        <v>76</v>
      </c>
      <c r="B45">
        <v>2.1</v>
      </c>
      <c r="E45" s="16">
        <v>0</v>
      </c>
      <c r="F45" s="18">
        <v>0</v>
      </c>
      <c r="G45">
        <v>0.01</v>
      </c>
      <c r="H45" s="16">
        <v>0</v>
      </c>
      <c r="I45" s="18">
        <v>0</v>
      </c>
      <c r="J45" s="18">
        <v>0</v>
      </c>
      <c r="K45" s="18">
        <v>0</v>
      </c>
      <c r="L45" s="16">
        <v>0</v>
      </c>
      <c r="M45" s="16">
        <v>0</v>
      </c>
      <c r="N45" s="16">
        <v>0</v>
      </c>
      <c r="P45" s="16">
        <v>0</v>
      </c>
    </row>
    <row r="46" spans="1:16" outlineLevel="2" x14ac:dyDescent="0.3">
      <c r="A46" t="s">
        <v>77</v>
      </c>
      <c r="B46">
        <v>2.1</v>
      </c>
      <c r="E46" s="16">
        <v>0</v>
      </c>
      <c r="F46" s="18">
        <v>0</v>
      </c>
      <c r="G46">
        <v>0.01</v>
      </c>
      <c r="H46" s="16">
        <v>0</v>
      </c>
      <c r="I46" s="18">
        <v>0</v>
      </c>
      <c r="J46" s="18">
        <v>0</v>
      </c>
      <c r="K46" s="18">
        <v>0</v>
      </c>
      <c r="L46" s="16">
        <v>0</v>
      </c>
      <c r="M46" s="16">
        <v>0</v>
      </c>
      <c r="N46" s="16">
        <v>0</v>
      </c>
      <c r="P46" s="16">
        <v>0</v>
      </c>
    </row>
    <row r="47" spans="1:16" s="15" customFormat="1" ht="18" x14ac:dyDescent="0.35">
      <c r="A47" s="10" t="s">
        <v>29</v>
      </c>
      <c r="H47" s="14">
        <v>4433477.8049999997</v>
      </c>
      <c r="I47" s="13">
        <v>77.503958257042314</v>
      </c>
      <c r="J47" s="13">
        <v>0</v>
      </c>
      <c r="K47" s="13">
        <v>3.0217663406486821</v>
      </c>
      <c r="L47" s="14">
        <v>343612078.73224354</v>
      </c>
      <c r="M47" s="14">
        <v>0</v>
      </c>
      <c r="N47" s="14">
        <v>13396934.003162</v>
      </c>
      <c r="P47" s="16">
        <v>43492417.267049998</v>
      </c>
    </row>
    <row r="48" spans="1:16" x14ac:dyDescent="0.3">
      <c r="A48" t="s">
        <v>78</v>
      </c>
      <c r="B48" s="26">
        <v>0.5</v>
      </c>
      <c r="H48" s="16">
        <v>1290847.895</v>
      </c>
      <c r="I48" s="18">
        <v>80.443100000000001</v>
      </c>
      <c r="J48" s="18">
        <v>3.9060000000000001</v>
      </c>
      <c r="K48" s="18">
        <v>1.849</v>
      </c>
      <c r="L48" s="16">
        <v>103839806.30227451</v>
      </c>
      <c r="M48" s="16">
        <v>5042051.87787</v>
      </c>
      <c r="N48" s="16">
        <v>2386777.757855</v>
      </c>
      <c r="P48" s="16">
        <v>12663217.849950001</v>
      </c>
    </row>
    <row r="49" spans="1:16" ht="18" customHeight="1" x14ac:dyDescent="0.3">
      <c r="A49" t="s">
        <v>79</v>
      </c>
      <c r="B49" s="26">
        <v>0.88574399999999998</v>
      </c>
      <c r="E49" s="16">
        <v>1851782.0150000001</v>
      </c>
      <c r="F49">
        <v>340</v>
      </c>
      <c r="H49" s="16">
        <v>1851782.0150000001</v>
      </c>
      <c r="I49" s="18">
        <v>73.406300000000002</v>
      </c>
      <c r="J49" s="18">
        <v>0</v>
      </c>
      <c r="K49" s="18">
        <v>4.6567999999999996</v>
      </c>
      <c r="L49">
        <v>135932466.12769452</v>
      </c>
      <c r="M49">
        <v>0</v>
      </c>
      <c r="N49" s="16">
        <v>8623378.4874520004</v>
      </c>
      <c r="P49" s="16">
        <v>18165981.56715</v>
      </c>
    </row>
    <row r="50" spans="1:16" x14ac:dyDescent="0.3">
      <c r="A50" t="s">
        <v>80</v>
      </c>
      <c r="B50" s="26">
        <v>0.5</v>
      </c>
      <c r="H50" s="16">
        <v>1290847.895</v>
      </c>
      <c r="I50" s="18">
        <v>80.443100000000001</v>
      </c>
      <c r="J50" s="18">
        <v>-3.9060000000000001</v>
      </c>
      <c r="K50" s="18">
        <v>1.849</v>
      </c>
      <c r="L50">
        <v>103839806.30227451</v>
      </c>
      <c r="M50">
        <v>-5042051.87787</v>
      </c>
      <c r="N50" s="16">
        <v>2386777.757855</v>
      </c>
      <c r="P50" s="16">
        <v>12663217.849950001</v>
      </c>
    </row>
    <row r="51" spans="1:16" ht="18" x14ac:dyDescent="0.35">
      <c r="A51" s="27" t="s">
        <v>30</v>
      </c>
      <c r="B51" s="27"/>
      <c r="C51" s="27"/>
      <c r="D51" s="27"/>
      <c r="E51" s="27">
        <v>1871560.7180000001</v>
      </c>
      <c r="F51" s="28"/>
      <c r="G51" s="27"/>
      <c r="H51" s="28">
        <v>6937404.8565950003</v>
      </c>
      <c r="I51" s="29">
        <v>76.092494031257473</v>
      </c>
      <c r="J51" s="29">
        <v>0</v>
      </c>
      <c r="K51" s="29">
        <v>5.3859328060926979</v>
      </c>
      <c r="L51" s="28">
        <v>527884437.64287168</v>
      </c>
      <c r="M51" s="28">
        <v>0</v>
      </c>
      <c r="N51" s="28">
        <v>37364396.406281821</v>
      </c>
    </row>
    <row r="52" spans="1:16" ht="18.600000000000001" thickBot="1" x14ac:dyDescent="0.4">
      <c r="A52" s="27" t="s">
        <v>31</v>
      </c>
      <c r="B52" s="27"/>
      <c r="F52" s="16"/>
      <c r="H52" s="30">
        <v>-6937405.1025</v>
      </c>
      <c r="I52" s="31">
        <v>76.092500000000001</v>
      </c>
      <c r="J52" s="31">
        <v>0</v>
      </c>
      <c r="K52" s="31">
        <v>3.0154000000000001</v>
      </c>
      <c r="L52" s="30">
        <v>-527884497.76198125</v>
      </c>
      <c r="M52" s="30">
        <v>0</v>
      </c>
      <c r="N52" s="30">
        <v>-20919051.3460785</v>
      </c>
    </row>
    <row r="53" spans="1:16" s="38" customFormat="1" ht="18.600000000000001" thickBot="1" x14ac:dyDescent="0.4">
      <c r="A53" s="27" t="s">
        <v>32</v>
      </c>
      <c r="B53" s="32" t="s">
        <v>33</v>
      </c>
      <c r="C53" s="23"/>
      <c r="D53"/>
      <c r="E53"/>
      <c r="F53" s="16"/>
      <c r="G53"/>
      <c r="H53" s="33">
        <v>-0.24590499978512526</v>
      </c>
      <c r="I53" s="32" t="s">
        <v>33</v>
      </c>
      <c r="J53" s="34"/>
      <c r="K53" s="35"/>
      <c r="L53" s="36">
        <v>-60.119109570980072</v>
      </c>
      <c r="M53" s="37">
        <v>0</v>
      </c>
      <c r="N53" s="28">
        <v>16445345.060203321</v>
      </c>
    </row>
    <row r="54" spans="1:16" s="38" customFormat="1" ht="18" x14ac:dyDescent="0.35">
      <c r="A54" s="27"/>
      <c r="B54"/>
      <c r="C54"/>
      <c r="D54"/>
      <c r="E54"/>
      <c r="F54"/>
      <c r="G54" s="39" t="s">
        <v>34</v>
      </c>
      <c r="H54" s="40">
        <v>-3.544625060118078E-8</v>
      </c>
      <c r="I54" s="27"/>
      <c r="J54" s="41"/>
      <c r="K54" s="42"/>
      <c r="L54" s="40">
        <v>-1.1388686317908749E-7</v>
      </c>
      <c r="M54" s="43"/>
      <c r="N54" s="28"/>
    </row>
    <row r="55" spans="1:16" s="38" customFormat="1" x14ac:dyDescent="0.3">
      <c r="A55"/>
      <c r="B55"/>
      <c r="C55"/>
      <c r="D55"/>
      <c r="E55"/>
      <c r="F55"/>
      <c r="I55"/>
    </row>
    <row r="56" spans="1:16" ht="21.6" thickBot="1" x14ac:dyDescent="0.45">
      <c r="A56" s="44" t="s">
        <v>35</v>
      </c>
      <c r="F56" s="16"/>
    </row>
    <row r="57" spans="1:16" x14ac:dyDescent="0.3">
      <c r="A57" s="45" t="s">
        <v>36</v>
      </c>
      <c r="B57" s="46">
        <v>5.8704054716112779</v>
      </c>
      <c r="F57" s="16"/>
      <c r="H57" s="46">
        <v>5.8704054716112779</v>
      </c>
    </row>
    <row r="58" spans="1:16" x14ac:dyDescent="0.3">
      <c r="A58" s="47" t="s">
        <v>37</v>
      </c>
      <c r="B58" s="48">
        <v>3.0154000000000001</v>
      </c>
      <c r="F58" s="16"/>
      <c r="H58" s="48">
        <v>3.0154000000000001</v>
      </c>
    </row>
    <row r="59" spans="1:16" x14ac:dyDescent="0.3">
      <c r="A59" s="47" t="s">
        <v>38</v>
      </c>
      <c r="B59" s="48">
        <v>8.8858054716112775</v>
      </c>
      <c r="F59" s="16"/>
      <c r="H59" s="48">
        <v>8.8858054716112775</v>
      </c>
    </row>
    <row r="60" spans="1:16" x14ac:dyDescent="0.3">
      <c r="A60" s="47" t="s">
        <v>39</v>
      </c>
      <c r="B60" s="48">
        <v>5.3859328060926979</v>
      </c>
      <c r="F60" s="16"/>
      <c r="H60" s="48">
        <v>5.3859328060926979</v>
      </c>
    </row>
    <row r="61" spans="1:16" x14ac:dyDescent="0.3">
      <c r="A61" s="47" t="s">
        <v>40</v>
      </c>
      <c r="B61" s="48">
        <v>3.4998726655185797</v>
      </c>
      <c r="H61" s="48">
        <v>3.4998726655185797</v>
      </c>
    </row>
    <row r="62" spans="1:16" x14ac:dyDescent="0.3">
      <c r="A62" s="47" t="s">
        <v>41</v>
      </c>
      <c r="B62" s="49">
        <v>3.7914659172089193E-2</v>
      </c>
      <c r="H62" s="49">
        <v>3.7914659172089193E-2</v>
      </c>
    </row>
    <row r="63" spans="1:16" x14ac:dyDescent="0.3">
      <c r="A63" s="47" t="s">
        <v>42</v>
      </c>
      <c r="B63" s="49">
        <v>0.41862434002209831</v>
      </c>
      <c r="H63" s="49">
        <v>0.41862434002209831</v>
      </c>
    </row>
    <row r="64" spans="1:16" x14ac:dyDescent="0.3">
      <c r="A64" s="47" t="s">
        <v>43</v>
      </c>
      <c r="B64" s="49">
        <v>3.7914659172089193E-2</v>
      </c>
      <c r="H64" s="49">
        <v>3.7914659172089193E-2</v>
      </c>
    </row>
    <row r="65" spans="1:15" ht="21.6" thickBot="1" x14ac:dyDescent="0.45">
      <c r="A65" s="50" t="s">
        <v>44</v>
      </c>
      <c r="B65" s="51">
        <v>3.005419007152303</v>
      </c>
      <c r="C65" s="22"/>
      <c r="H65" s="51">
        <v>3.005419007152303</v>
      </c>
    </row>
    <row r="77" spans="1:15" ht="18" x14ac:dyDescent="0.35">
      <c r="J77" s="41"/>
      <c r="K77" s="42"/>
      <c r="L77" s="52"/>
      <c r="M77" s="52"/>
      <c r="N77" s="28"/>
      <c r="O77" s="38"/>
    </row>
    <row r="79" spans="1:15" ht="18" x14ac:dyDescent="0.35">
      <c r="J79" s="41"/>
      <c r="K79" s="42"/>
      <c r="L79" s="52"/>
      <c r="M79" s="52"/>
      <c r="N79" s="28"/>
      <c r="O79" s="38"/>
    </row>
    <row r="81" spans="10:15" ht="18" x14ac:dyDescent="0.35">
      <c r="J81" s="41"/>
      <c r="K81" s="42"/>
      <c r="L81" s="52"/>
      <c r="M81" s="52"/>
      <c r="N81" s="28"/>
      <c r="O81" s="38"/>
    </row>
    <row r="83" spans="10:15" ht="18" x14ac:dyDescent="0.35">
      <c r="J83" s="41"/>
      <c r="K83" s="42"/>
      <c r="L83" s="52"/>
      <c r="M83" s="52"/>
      <c r="N83" s="28"/>
      <c r="O83" s="38"/>
    </row>
    <row r="85" spans="10:15" ht="18" x14ac:dyDescent="0.35">
      <c r="J85" s="41"/>
      <c r="K85" s="42"/>
      <c r="L85" s="52"/>
      <c r="M85" s="52"/>
      <c r="N85" s="28"/>
      <c r="O85" s="38"/>
    </row>
    <row r="87" spans="10:15" ht="14.4" customHeight="1" x14ac:dyDescent="0.35">
      <c r="J87" s="41"/>
      <c r="K87" s="42"/>
      <c r="L87" s="52"/>
      <c r="M87" s="52"/>
      <c r="N87" s="28"/>
      <c r="O87" s="38"/>
    </row>
    <row r="89" spans="10:15" ht="18" x14ac:dyDescent="0.35">
      <c r="J89" s="41"/>
      <c r="K89" s="42"/>
      <c r="L89" s="52"/>
      <c r="M89" s="52"/>
      <c r="N89" s="28"/>
      <c r="O89" s="38"/>
    </row>
    <row r="91" spans="10:15" ht="18" x14ac:dyDescent="0.35">
      <c r="J91" s="41"/>
      <c r="K91" s="42"/>
      <c r="L91" s="52"/>
      <c r="M91" s="52"/>
      <c r="N91" s="28"/>
      <c r="O91" s="38"/>
    </row>
    <row r="93" spans="10:15" ht="18" x14ac:dyDescent="0.35">
      <c r="J93" s="41"/>
      <c r="K93" s="42"/>
      <c r="L93" s="52"/>
      <c r="M93" s="52"/>
      <c r="N93" s="28"/>
      <c r="O93" s="38"/>
    </row>
    <row r="95" spans="10:15" ht="18" x14ac:dyDescent="0.35">
      <c r="J95" s="41"/>
      <c r="K95" s="42"/>
      <c r="L95" s="52"/>
      <c r="M95" s="52"/>
      <c r="N95" s="28"/>
      <c r="O95" s="38"/>
    </row>
  </sheetData>
  <conditionalFormatting sqref="H53">
    <cfRule type="cellIs" dxfId="3" priority="3" operator="lessThan">
      <formula>-0.5</formula>
    </cfRule>
    <cfRule type="cellIs" dxfId="2" priority="4" operator="greaterThan">
      <formula>0.5</formula>
    </cfRule>
  </conditionalFormatting>
  <conditionalFormatting sqref="L53:M53 M54">
    <cfRule type="cellIs" dxfId="1" priority="1" operator="lessThan">
      <formula>-0.5</formula>
    </cfRule>
    <cfRule type="cellIs" dxfId="0" priority="2" operator="greaterThan">
      <formula>0.5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NakijkModel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Goris</dc:creator>
  <cp:lastModifiedBy>Bas Goris</cp:lastModifiedBy>
  <dcterms:created xsi:type="dcterms:W3CDTF">2015-06-05T18:17:20Z</dcterms:created>
  <dcterms:modified xsi:type="dcterms:W3CDTF">2026-02-16T13:59:14Z</dcterms:modified>
</cp:coreProperties>
</file>